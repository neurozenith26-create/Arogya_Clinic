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st Details" sheetId="2" state="visible" r:id="rId4"/>
    <sheet name="Features &amp; Pros·C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<sst xmlns="http://schemas.openxmlformats.org/spreadsheetml/2006/main" count="286" uniqueCount="181">
  <si>
    <t xml:space="preserve">AROGYA DIAGNOSTICS — Hosting Proposal · Quick View</t>
  </si>
  <si>
    <t xml:space="preserve">3-Year cost comparison · Sized for 200-300 concurrent users · Verified May 2026</t>
  </si>
  <si>
    <t xml:space="preserve">TRAFFIC ASSUMPTIONS</t>
  </si>
  <si>
    <t xml:space="preserve">Daily unique patients</t>
  </si>
  <si>
    <t xml:space="preserve">300 - 800 per day</t>
  </si>
  <si>
    <t xml:space="preserve">Peak concurrent users (same time)</t>
  </si>
  <si>
    <t xml:space="preserve">200 - 300 people</t>
  </si>
  <si>
    <t xml:space="preserve">Monthly bandwidth (frontend)</t>
  </si>
  <si>
    <t xml:space="preserve">~20-60 GB/month</t>
  </si>
  <si>
    <t xml:space="preserve">Daily database transactions</t>
  </si>
  <si>
    <t xml:space="preserve">~5,000-15,000</t>
  </si>
  <si>
    <t xml:space="preserve">Database size after 3 years</t>
  </si>
  <si>
    <t xml:space="preserve">~5-15 GB</t>
  </si>
  <si>
    <t xml:space="preserve">STACK COMPARISON</t>
  </si>
  <si>
    <t xml:space="preserve">Current Stack (FREE)
— NOT VIABLE</t>
  </si>
  <si>
    <t xml:space="preserve">Option 1
Stay on Current Vendors</t>
  </si>
  <si>
    <t xml:space="preserve">Option 2
Premium Managed</t>
  </si>
  <si>
    <t xml:space="preserve">Option 3 ★
Hybrid (RECOMMENDED)</t>
  </si>
  <si>
    <t xml:space="preserve">Frontend</t>
  </si>
  <si>
    <t xml:space="preserve">Netlify Free</t>
  </si>
  <si>
    <t xml:space="preserve">Netlify Personal $9/mo</t>
  </si>
  <si>
    <t xml:space="preserve">Cloudflare Pages (free)</t>
  </si>
  <si>
    <t xml:space="preserve">Backend</t>
  </si>
  <si>
    <t xml:space="preserve">Render Free (sleeps)</t>
  </si>
  <si>
    <t xml:space="preserve">Render Standard $25/mo</t>
  </si>
  <si>
    <t xml:space="preserve">Hostinger KVM 2 Mumbai</t>
  </si>
  <si>
    <t xml:space="preserve">Database</t>
  </si>
  <si>
    <t xml:space="preserve">Supabase Free (pauses)</t>
  </si>
  <si>
    <t xml:space="preserve">Supabase Pro Mumbai $25/mo</t>
  </si>
  <si>
    <t xml:space="preserve">Domain</t>
  </si>
  <si>
    <t xml:space="preserve">None (subdomain)</t>
  </si>
  <si>
    <t xml:space="preserve">Hostinger .com</t>
  </si>
  <si>
    <t xml:space="preserve">Hostinger .com (free Y1)</t>
  </si>
  <si>
    <t xml:space="preserve">3-YEAR PRICING (Rs)</t>
  </si>
  <si>
    <t xml:space="preserve">Period</t>
  </si>
  <si>
    <t xml:space="preserve">Current Stack (FREE)</t>
  </si>
  <si>
    <t xml:space="preserve">Option 1</t>
  </si>
  <si>
    <t xml:space="preserve">Option 2</t>
  </si>
  <si>
    <t xml:space="preserve">Option 3 ★</t>
  </si>
  <si>
    <t xml:space="preserve">Year 1</t>
  </si>
  <si>
    <t xml:space="preserve">Year 2</t>
  </si>
  <si>
    <t xml:space="preserve">Year 3</t>
  </si>
  <si>
    <t xml:space="preserve">3-YEAR TOTAL</t>
  </si>
  <si>
    <t xml:space="preserve">Average per month</t>
  </si>
  <si>
    <t xml:space="preserve">VIABILITY AT A GLANCE</t>
  </si>
  <si>
    <t xml:space="preserve">Status</t>
  </si>
  <si>
    <t xml:space="preserve">✗ Will crash live</t>
  </si>
  <si>
    <t xml:space="preserve">✓ Production-grade</t>
  </si>
  <si>
    <t xml:space="preserve">★ RECOMMENDED</t>
  </si>
  <si>
    <t xml:space="preserve">Risk to patient data</t>
  </si>
  <si>
    <t xml:space="preserve">HIGH (no backups, pauses)</t>
  </si>
  <si>
    <t xml:space="preserve">LOW (DB isolated, daily backups)</t>
  </si>
  <si>
    <t xml:space="preserve">Data residency (DPDP)</t>
  </si>
  <si>
    <t xml:space="preserve">DB Mumbai only</t>
  </si>
  <si>
    <t xml:space="preserve">Both BE + DB in Mumbai</t>
  </si>
  <si>
    <t xml:space="preserve">Compliance (SOC 2 + ISO 27001)</t>
  </si>
  <si>
    <t xml:space="preserve">None</t>
  </si>
  <si>
    <t xml:space="preserve">Yes (Supabase Pro infra)</t>
  </si>
  <si>
    <t xml:space="preserve">CI/CD enabled (GitHub Actions)</t>
  </si>
  <si>
    <t xml:space="preserve">Yes</t>
  </si>
  <si>
    <t xml:space="preserve">Devops effort needed</t>
  </si>
  <si>
    <t xml:space="preserve">None (broken anyway)</t>
  </si>
  <si>
    <t xml:space="preserve">None (fully managed)</t>
  </si>
  <si>
    <t xml:space="preserve">~3-4 hrs/month (VPS admin)</t>
  </si>
  <si>
    <t xml:space="preserve">FX: USD 1 = INR 85 (May 2026) · Hostinger prices include 18% GST · Verified May 2026 from each provider's official website</t>
  </si>
  <si>
    <t xml:space="preserve">LINE-ITEM COST BREAKDOWN (Rs per year)</t>
  </si>
  <si>
    <t xml:space="preserve">CURRENT STACK (Free tier — NOT viable for production)</t>
  </si>
  <si>
    <t xml:space="preserve">Layer</t>
  </si>
  <si>
    <t xml:space="preserve">Item</t>
  </si>
  <si>
    <t xml:space="preserve">[FE]</t>
  </si>
  <si>
    <t xml:space="preserve">[BE]</t>
  </si>
  <si>
    <t xml:space="preserve">Render Free (sleeps after 15 min idle)</t>
  </si>
  <si>
    <t xml:space="preserve">[DB]</t>
  </si>
  <si>
    <t xml:space="preserve">Supabase Free Mumbai (auto-pauses after 7 days)</t>
  </si>
  <si>
    <t xml:space="preserve">[DNS]</t>
  </si>
  <si>
    <t xml:space="preserve">Free subdomain (.netlify.app, .onrender.com)</t>
  </si>
  <si>
    <t xml:space="preserve">[OPS]</t>
  </si>
  <si>
    <t xml:space="preserve">Off-site backups — none</t>
  </si>
  <si>
    <t xml:space="preserve">TOTAL per year</t>
  </si>
  <si>
    <t xml:space="preserve">3-YEAR GRAND TOTAL</t>
  </si>
  <si>
    <t xml:space="preserve">OPTION 1 · Stay on Current Vendors (paid)</t>
  </si>
  <si>
    <t xml:space="preserve">Netlify Personal ($9/mo)</t>
  </si>
  <si>
    <t xml:space="preserve">Render Standard ($25/mo, 1 CPU/2 GB)</t>
  </si>
  <si>
    <t xml:space="preserve">Supabase Pro Mumbai ($25/mo)</t>
  </si>
  <si>
    <t xml:space="preserve">Hostinger .com domain</t>
  </si>
  <si>
    <t xml:space="preserve">Backblaze B2 off-site backup (~10 GB)</t>
  </si>
  <si>
    <t xml:space="preserve">[EMAIL]</t>
  </si>
  <si>
    <t xml:space="preserve">Resend free tier (3,000/mo)</t>
  </si>
  <si>
    <t xml:space="preserve">OPTION 2 · Premium All-Managed</t>
  </si>
  <si>
    <t xml:space="preserve">Cloudflare Pages (free, unlimited)</t>
  </si>
  <si>
    <t xml:space="preserve">Resend free tier</t>
  </si>
  <si>
    <t xml:space="preserve">OPTION 3 ★ · Hybrid (RECOMMENDED)</t>
  </si>
  <si>
    <t xml:space="preserve">Hostinger KVM 2 Mumbai (2 vCPU/8 GB, incl. 18% GST)</t>
  </si>
  <si>
    <t xml:space="preserve">Hostinger .com domain (free Y1)</t>
  </si>
  <si>
    <t xml:space="preserve">[SSL]</t>
  </si>
  <si>
    <t xml:space="preserve">Cloudflare free + Let's Encrypt</t>
  </si>
  <si>
    <t xml:space="preserve">FEATURE COMPARISON + PROS &amp; CONS</t>
  </si>
  <si>
    <t xml:space="preserve">DECISION MATRIX</t>
  </si>
  <si>
    <t xml:space="preserve">Criterion</t>
  </si>
  <si>
    <t xml:space="preserve">Current (Free)</t>
  </si>
  <si>
    <t xml:space="preserve">Lowest 3-year cost</t>
  </si>
  <si>
    <t xml:space="preserve">★ Rs 0 (unviable)</t>
  </si>
  <si>
    <t xml:space="preserve">Highest (Rs 1.85L)</t>
  </si>
  <si>
    <t xml:space="preserve">Middle (Rs 1.57L)</t>
  </si>
  <si>
    <t xml:space="preserve">★ Lowest (Rs 1.20L)</t>
  </si>
  <si>
    <t xml:space="preserve">Handles 200-300 concurrent</t>
  </si>
  <si>
    <t xml:space="preserve">✗ Will crash</t>
  </si>
  <si>
    <t xml:space="preserve">✓ Yes</t>
  </si>
  <si>
    <t xml:space="preserve">Database isolated from BE</t>
  </si>
  <si>
    <t xml:space="preserve">Data residency in India</t>
  </si>
  <si>
    <t xml:space="preserve">DB only</t>
  </si>
  <si>
    <t xml:space="preserve">DB only (Mumbai)</t>
  </si>
  <si>
    <t xml:space="preserve">★ Both BE + DB Mumbai</t>
  </si>
  <si>
    <t xml:space="preserve">Daily backups + 7-day PITR</t>
  </si>
  <si>
    <t xml:space="preserve">✗ None</t>
  </si>
  <si>
    <t xml:space="preserve">Compliance (SOC 2 + ISO)</t>
  </si>
  <si>
    <t xml:space="preserve">DDoS protection</t>
  </si>
  <si>
    <t xml:space="preserve">Platform default</t>
  </si>
  <si>
    <t xml:space="preserve">Built-in</t>
  </si>
  <si>
    <t xml:space="preserve">Cloudflare unmetered</t>
  </si>
  <si>
    <t xml:space="preserve">WAF</t>
  </si>
  <si>
    <t xml:space="preserve">Partial</t>
  </si>
  <si>
    <t xml:space="preserve">Free + 5 rules</t>
  </si>
  <si>
    <t xml:space="preserve">Custom domain</t>
  </si>
  <si>
    <t xml:space="preserve">✗ No</t>
  </si>
  <si>
    <t xml:space="preserve">Easiest to operate</t>
  </si>
  <si>
    <t xml:space="preserve">Medium</t>
  </si>
  <si>
    <t xml:space="preserve">★ Fully managed</t>
  </si>
  <si>
    <t xml:space="preserve">VPS admin needed</t>
  </si>
  <si>
    <t xml:space="preserve">Scalable to 2x-10x growth</t>
  </si>
  <si>
    <t xml:space="preserve">✗ Free caps</t>
  </si>
  <si>
    <t xml:space="preserve">Uptime expectation</t>
  </si>
  <si>
    <t xml:space="preserve">~95-98%</t>
  </si>
  <si>
    <t xml:space="preserve">99.95%</t>
  </si>
  <si>
    <t xml:space="preserve">99.7-99.95%</t>
  </si>
  <si>
    <t xml:space="preserve">Verdict</t>
  </si>
  <si>
    <t xml:space="preserve">Dev-only</t>
  </si>
  <si>
    <t xml:space="preserve">Zero migration</t>
  </si>
  <si>
    <t xml:space="preserve">Premium polish</t>
  </si>
  <si>
    <t xml:space="preserve">★ BEST BALANCE</t>
  </si>
  <si>
    <t xml:space="preserve">PROS (top 4 per option)</t>
  </si>
  <si>
    <t xml:space="preserve">Pro 1</t>
  </si>
  <si>
    <t xml:space="preserve">+ Zero cost</t>
  </si>
  <si>
    <t xml:space="preserve">+ Same 3 vendors as today — no new logins</t>
  </si>
  <si>
    <t xml:space="preserve">+ Fully managed — zero devops</t>
  </si>
  <si>
    <t xml:space="preserve">+ Lowest 3-year cost (Rs 1.20 lakh)</t>
  </si>
  <si>
    <t xml:space="preserve">Pro 2</t>
  </si>
  <si>
    <t xml:space="preserve">+ Already deployed live</t>
  </si>
  <si>
    <t xml:space="preserve">+ One-click upgrade in each provider portal</t>
  </si>
  <si>
    <t xml:space="preserve">+ Cloudflare Pages: unlimited bandwidth + free DDoS + free WAF</t>
  </si>
  <si>
    <t xml:space="preserve">+ Backend + DB both in Mumbai — lowest latency</t>
  </si>
  <si>
    <t xml:space="preserve">Pro 3</t>
  </si>
  <si>
    <t xml:space="preserve">+ Supabase Free already in Mumbai</t>
  </si>
  <si>
    <t xml:space="preserve">+ Already on Supabase Mumbai — no data migration</t>
  </si>
  <si>
    <t xml:space="preserve">+ Best uptime (~99.95%)</t>
  </si>
  <si>
    <t xml:space="preserve">+ Cloudflare unmetered bandwidth + free DDoS/WAF</t>
  </si>
  <si>
    <t xml:space="preserve">Pro 4</t>
  </si>
  <si>
    <t xml:space="preserve">+ Same architecture as Option 1/2/3</t>
  </si>
  <si>
    <t xml:space="preserve">+ Database isolated from Backend</t>
  </si>
  <si>
    <t xml:space="preserve">+ Auto-deploys on git push — CI/CD is free</t>
  </si>
  <si>
    <t xml:space="preserve">+ Vertical scale: KVM 2 → KVM 4 → KVM 8</t>
  </si>
  <si>
    <t xml:space="preserve">CONS (top 4 per option)</t>
  </si>
  <si>
    <t xml:space="preserve">Con 1</t>
  </si>
  <si>
    <t xml:space="preserve">- Render Free sleeps — 30-50 sec cold start for first patient</t>
  </si>
  <si>
    <t xml:space="preserve">- Highest 3-year cost (Rs 1.85 lakh)</t>
  </si>
  <si>
    <t xml:space="preserve">- Rs 27,540 more than Option 3 over 3 years</t>
  </si>
  <si>
    <t xml:space="preserve">- Two billing vendors (INR + USD)</t>
  </si>
  <si>
    <t xml:space="preserve">Con 2</t>
  </si>
  <si>
    <t xml:space="preserve">- Supabase Free auto-pauses after 7 days</t>
  </si>
  <si>
    <t xml:space="preserve">- All 3 providers bill in USD — FX risk</t>
  </si>
  <si>
    <t xml:space="preserve">- Render Standard ~2.5x cost of equivalent VPS</t>
  </si>
  <si>
    <t xml:space="preserve">- Backend VPS needs OS admin (~3-4 hrs/mo)</t>
  </si>
  <si>
    <t xml:space="preserve">Con 3</t>
  </si>
  <si>
    <t xml:space="preserve">- 500 MB DB ceiling — too small for reports</t>
  </si>
  <si>
    <t xml:space="preserve">- Render backend in US/EU — only DB in Mumbai</t>
  </si>
  <si>
    <t xml:space="preserve">- Render bills in USD — FX risk</t>
  </si>
  <si>
    <t xml:space="preserve">- KVM 2 renewal price rises in Year 3</t>
  </si>
  <si>
    <t xml:space="preserve">Con 4</t>
  </si>
  <si>
    <t xml:space="preserve">- No DDoS, no WAF, no backups</t>
  </si>
  <si>
    <t xml:space="preserve">- Three vendor accounts + invoices</t>
  </si>
  <si>
    <t xml:space="preserve">- Supabase egress capped at 250 GB/mo (then overage)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</si>
</sst>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s &quot;#,##0;&quot;Rs (&quot;#,##0\);\-"/>
    <numFmt numFmtId="166" formatCode="&quot;Rs &quot;#,##0&quot;/mo&quot;;&quot;Rs (&quot;#,##0&quot;)/mo&quot;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40404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CE4E4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404040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C6E0B4"/>
        <bgColor rgb="FFBFBFBF"/>
      </patternFill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  <c r="E6" s="5"/>
    </row>
    <row r="7" customFormat="false" ht="19.5" hidden="false" customHeight="true" outlineLevel="0" collapsed="false">
      <c r="A7" s="4" t="s">
        <v>7</v>
      </c>
      <c r="B7" s="5" t="s">
        <v>8</v>
      </c>
      <c r="C7" s="5"/>
      <c r="D7" s="5"/>
      <c r="E7" s="5"/>
    </row>
    <row r="8" customFormat="false" ht="19.5" hidden="false" customHeight="true" outlineLevel="0" collapsed="false">
      <c r="A8" s="4" t="s">
        <v>9</v>
      </c>
      <c r="B8" s="5" t="s">
        <v>10</v>
      </c>
      <c r="C8" s="5"/>
      <c r="D8" s="5"/>
      <c r="E8" s="5"/>
    </row>
    <row r="9" customFormat="false" ht="19.5" hidden="false" customHeight="true" outlineLevel="0" collapsed="false">
      <c r="A9" s="4" t="s">
        <v>11</v>
      </c>
      <c r="B9" s="5" t="s">
        <v>12</v>
      </c>
      <c r="C9" s="5"/>
      <c r="D9" s="5"/>
      <c r="E9" s="5"/>
    </row>
    <row r="11" customFormat="false" ht="24" hidden="false" customHeight="true" outlineLevel="0" collapsed="false">
      <c r="A11" s="3" t="s">
        <v>13</v>
      </c>
      <c r="B11" s="3"/>
      <c r="C11" s="3"/>
      <c r="D11" s="3"/>
      <c r="E11" s="3"/>
    </row>
    <row r="12" customFormat="false" ht="39.75" hidden="false" customHeight="true" outlineLevel="0" collapsed="false">
      <c r="A12" s="6"/>
      <c r="B12" s="7" t="s">
        <v>14</v>
      </c>
      <c r="C12" s="8" t="s">
        <v>15</v>
      </c>
      <c r="D12" s="9" t="s">
        <v>16</v>
      </c>
      <c r="E12" s="10" t="s">
        <v>17</v>
      </c>
    </row>
    <row r="13" customFormat="false" ht="27.75" hidden="false" customHeight="true" outlineLevel="0" collapsed="false">
      <c r="A13" s="4" t="s">
        <v>18</v>
      </c>
      <c r="B13" s="11" t="s">
        <v>19</v>
      </c>
      <c r="C13" s="12" t="s">
        <v>20</v>
      </c>
      <c r="D13" s="13" t="s">
        <v>21</v>
      </c>
      <c r="E13" s="14" t="s">
        <v>21</v>
      </c>
    </row>
    <row r="14" customFormat="false" ht="27.75" hidden="false" customHeight="true" outlineLevel="0" collapsed="false">
      <c r="A14" s="4" t="s">
        <v>22</v>
      </c>
      <c r="B14" s="11" t="s">
        <v>23</v>
      </c>
      <c r="C14" s="12" t="s">
        <v>24</v>
      </c>
      <c r="D14" s="13" t="s">
        <v>24</v>
      </c>
      <c r="E14" s="14" t="s">
        <v>25</v>
      </c>
    </row>
    <row r="15" customFormat="false" ht="27.75" hidden="false" customHeight="true" outlineLevel="0" collapsed="false">
      <c r="A15" s="4" t="s">
        <v>26</v>
      </c>
      <c r="B15" s="11" t="s">
        <v>27</v>
      </c>
      <c r="C15" s="12" t="s">
        <v>28</v>
      </c>
      <c r="D15" s="13" t="s">
        <v>28</v>
      </c>
      <c r="E15" s="14" t="s">
        <v>28</v>
      </c>
    </row>
    <row r="16" customFormat="false" ht="27.75" hidden="false" customHeight="true" outlineLevel="0" collapsed="false">
      <c r="A16" s="4" t="s">
        <v>29</v>
      </c>
      <c r="B16" s="11" t="s">
        <v>30</v>
      </c>
      <c r="C16" s="12" t="s">
        <v>31</v>
      </c>
      <c r="D16" s="13" t="s">
        <v>31</v>
      </c>
      <c r="E16" s="14" t="s">
        <v>32</v>
      </c>
    </row>
    <row r="18" customFormat="false" ht="24" hidden="false" customHeight="true" outlineLevel="0" collapsed="false">
      <c r="A18" s="3" t="s">
        <v>33</v>
      </c>
      <c r="B18" s="3"/>
      <c r="C18" s="3"/>
      <c r="D18" s="3"/>
      <c r="E18" s="3"/>
    </row>
    <row r="19" customFormat="false" ht="24" hidden="false" customHeight="true" outlineLevel="0" collapsed="false">
      <c r="A19" s="4" t="s">
        <v>34</v>
      </c>
      <c r="B19" s="15" t="s">
        <v>35</v>
      </c>
      <c r="C19" s="16" t="s">
        <v>36</v>
      </c>
      <c r="D19" s="17" t="s">
        <v>37</v>
      </c>
      <c r="E19" s="18" t="s">
        <v>38</v>
      </c>
    </row>
    <row r="20" customFormat="false" ht="21.75" hidden="false" customHeight="true" outlineLevel="0" collapsed="false">
      <c r="A20" s="4" t="s">
        <v>39</v>
      </c>
      <c r="B20" s="19" t="n">
        <v>0</v>
      </c>
      <c r="C20" s="20" t="n">
        <v>60991</v>
      </c>
      <c r="D20" s="21" t="n">
        <v>51811</v>
      </c>
      <c r="E20" s="22" t="n">
        <v>37426</v>
      </c>
    </row>
    <row r="21" customFormat="false" ht="21.75" hidden="false" customHeight="true" outlineLevel="0" collapsed="false">
      <c r="A21" s="4" t="s">
        <v>40</v>
      </c>
      <c r="B21" s="19" t="n">
        <v>0</v>
      </c>
      <c r="C21" s="20" t="n">
        <v>62091</v>
      </c>
      <c r="D21" s="21" t="n">
        <v>52911</v>
      </c>
      <c r="E21" s="22" t="n">
        <v>38725</v>
      </c>
    </row>
    <row r="22" customFormat="false" ht="21.75" hidden="false" customHeight="true" outlineLevel="0" collapsed="false">
      <c r="A22" s="4" t="s">
        <v>41</v>
      </c>
      <c r="B22" s="19" t="n">
        <v>0</v>
      </c>
      <c r="C22" s="20" t="n">
        <v>62091</v>
      </c>
      <c r="D22" s="21" t="n">
        <v>52911</v>
      </c>
      <c r="E22" s="22" t="n">
        <v>44389</v>
      </c>
    </row>
    <row r="23" customFormat="false" ht="27.75" hidden="false" customHeight="true" outlineLevel="0" collapsed="false">
      <c r="A23" s="23" t="s">
        <v>42</v>
      </c>
      <c r="B23" s="24" t="n">
        <f aca="false">SUM(B20:B22)</f>
        <v>0</v>
      </c>
      <c r="C23" s="25" t="n">
        <f aca="false">SUM(C20:C22)</f>
        <v>185173</v>
      </c>
      <c r="D23" s="26" t="n">
        <f aca="false">SUM(D20:D22)</f>
        <v>157633</v>
      </c>
      <c r="E23" s="27" t="n">
        <f aca="false">SUM(E20:E22)</f>
        <v>120540</v>
      </c>
    </row>
    <row r="24" customFormat="false" ht="19.5" hidden="false" customHeight="true" outlineLevel="0" collapsed="false">
      <c r="A24" s="4" t="s">
        <v>43</v>
      </c>
      <c r="B24" s="28" t="n">
        <f aca="false">B23/36</f>
        <v>0</v>
      </c>
      <c r="C24" s="29" t="n">
        <f aca="false">C23/36</f>
        <v>5143.69444444444</v>
      </c>
      <c r="D24" s="30" t="n">
        <f aca="false">D23/36</f>
        <v>4378.69444444444</v>
      </c>
      <c r="E24" s="31" t="n">
        <f aca="false">E23/36</f>
        <v>3348.33333333333</v>
      </c>
    </row>
    <row r="26" customFormat="false" ht="24" hidden="false" customHeight="true" outlineLevel="0" collapsed="false">
      <c r="A26" s="3" t="s">
        <v>44</v>
      </c>
      <c r="B26" s="3"/>
      <c r="C26" s="3"/>
      <c r="D26" s="3"/>
      <c r="E26" s="3"/>
    </row>
    <row r="27" customFormat="false" ht="30" hidden="false" customHeight="true" outlineLevel="0" collapsed="false">
      <c r="A27" s="4" t="s">
        <v>45</v>
      </c>
      <c r="B27" s="32" t="s">
        <v>46</v>
      </c>
      <c r="C27" s="33" t="s">
        <v>47</v>
      </c>
      <c r="D27" s="34" t="s">
        <v>47</v>
      </c>
      <c r="E27" s="35" t="s">
        <v>48</v>
      </c>
    </row>
    <row r="28" customFormat="false" ht="30" hidden="false" customHeight="true" outlineLevel="0" collapsed="false">
      <c r="A28" s="4" t="s">
        <v>49</v>
      </c>
      <c r="B28" s="36" t="s">
        <v>50</v>
      </c>
      <c r="C28" s="37" t="s">
        <v>51</v>
      </c>
      <c r="D28" s="38" t="s">
        <v>51</v>
      </c>
      <c r="E28" s="39" t="s">
        <v>51</v>
      </c>
    </row>
    <row r="29" customFormat="false" ht="30" hidden="false" customHeight="true" outlineLevel="0" collapsed="false">
      <c r="A29" s="4" t="s">
        <v>52</v>
      </c>
      <c r="B29" s="36" t="s">
        <v>53</v>
      </c>
      <c r="C29" s="37" t="s">
        <v>53</v>
      </c>
      <c r="D29" s="38" t="s">
        <v>53</v>
      </c>
      <c r="E29" s="39" t="s">
        <v>54</v>
      </c>
    </row>
    <row r="30" customFormat="false" ht="30" hidden="false" customHeight="true" outlineLevel="0" collapsed="false">
      <c r="A30" s="4" t="s">
        <v>55</v>
      </c>
      <c r="B30" s="36" t="s">
        <v>56</v>
      </c>
      <c r="C30" s="37" t="s">
        <v>57</v>
      </c>
      <c r="D30" s="38" t="s">
        <v>57</v>
      </c>
      <c r="E30" s="39" t="s">
        <v>57</v>
      </c>
    </row>
    <row r="31" customFormat="false" ht="30" hidden="false" customHeight="true" outlineLevel="0" collapsed="false">
      <c r="A31" s="4" t="s">
        <v>58</v>
      </c>
      <c r="B31" s="36" t="s">
        <v>59</v>
      </c>
      <c r="C31" s="37" t="s">
        <v>59</v>
      </c>
      <c r="D31" s="38" t="s">
        <v>59</v>
      </c>
      <c r="E31" s="39" t="s">
        <v>59</v>
      </c>
    </row>
    <row r="32" customFormat="false" ht="30" hidden="false" customHeight="true" outlineLevel="0" collapsed="false">
      <c r="A32" s="4" t="s">
        <v>60</v>
      </c>
      <c r="B32" s="36" t="s">
        <v>61</v>
      </c>
      <c r="C32" s="37" t="s">
        <v>62</v>
      </c>
      <c r="D32" s="38" t="s">
        <v>62</v>
      </c>
      <c r="E32" s="39" t="s">
        <v>63</v>
      </c>
    </row>
    <row r="34" customFormat="false" ht="18" hidden="false" customHeight="true" outlineLevel="0" collapsed="false">
      <c r="A34" s="40" t="s">
        <v>64</v>
      </c>
      <c r="B34" s="40"/>
      <c r="C34" s="40"/>
      <c r="D34" s="40"/>
      <c r="E34" s="40"/>
    </row>
  </sheetData>
  <mergeCells count="12">
    <mergeCell ref="A1:E1"/>
    <mergeCell ref="A2:E2"/>
    <mergeCell ref="A4:E4"/>
    <mergeCell ref="B5:E5"/>
    <mergeCell ref="B6:E6"/>
    <mergeCell ref="B7:E7"/>
    <mergeCell ref="B8:E8"/>
    <mergeCell ref="B9:E9"/>
    <mergeCell ref="A11:E11"/>
    <mergeCell ref="A18:E18"/>
    <mergeCell ref="A26:E26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5" min="3" style="0" width="14"/>
  </cols>
  <sheetData>
    <row r="1" customFormat="false" ht="27.75" hidden="false" customHeight="true" outlineLevel="0" collapsed="false">
      <c r="A1" s="41" t="s">
        <v>65</v>
      </c>
      <c r="B1" s="41"/>
      <c r="C1" s="41"/>
      <c r="D1" s="41"/>
      <c r="E1" s="41"/>
    </row>
    <row r="3" customFormat="false" ht="21.75" hidden="false" customHeight="true" outlineLevel="0" collapsed="false">
      <c r="A3" s="42" t="s">
        <v>66</v>
      </c>
      <c r="B3" s="42"/>
      <c r="C3" s="42"/>
      <c r="D3" s="42"/>
      <c r="E3" s="42"/>
    </row>
    <row r="4" customFormat="false" ht="21.75" hidden="false" customHeight="true" outlineLevel="0" collapsed="false">
      <c r="A4" s="43" t="s">
        <v>67</v>
      </c>
      <c r="B4" s="43" t="s">
        <v>68</v>
      </c>
      <c r="C4" s="43" t="s">
        <v>39</v>
      </c>
      <c r="D4" s="43" t="s">
        <v>40</v>
      </c>
      <c r="E4" s="43" t="s">
        <v>41</v>
      </c>
    </row>
    <row r="5" customFormat="false" ht="18" hidden="false" customHeight="true" outlineLevel="0" collapsed="false">
      <c r="A5" s="44" t="s">
        <v>69</v>
      </c>
      <c r="B5" s="44" t="s">
        <v>19</v>
      </c>
      <c r="C5" s="45" t="n">
        <v>0</v>
      </c>
      <c r="D5" s="45" t="n">
        <v>0</v>
      </c>
      <c r="E5" s="45" t="n">
        <v>0</v>
      </c>
    </row>
    <row r="6" customFormat="false" ht="18" hidden="false" customHeight="true" outlineLevel="0" collapsed="false">
      <c r="A6" s="44" t="s">
        <v>70</v>
      </c>
      <c r="B6" s="44" t="s">
        <v>71</v>
      </c>
      <c r="C6" s="45" t="n">
        <v>0</v>
      </c>
      <c r="D6" s="45" t="n">
        <v>0</v>
      </c>
      <c r="E6" s="45" t="n">
        <v>0</v>
      </c>
    </row>
    <row r="7" customFormat="false" ht="18" hidden="false" customHeight="true" outlineLevel="0" collapsed="false">
      <c r="A7" s="44" t="s">
        <v>72</v>
      </c>
      <c r="B7" s="44" t="s">
        <v>73</v>
      </c>
      <c r="C7" s="45" t="n">
        <v>0</v>
      </c>
      <c r="D7" s="45" t="n">
        <v>0</v>
      </c>
      <c r="E7" s="45" t="n">
        <v>0</v>
      </c>
    </row>
    <row r="8" customFormat="false" ht="18" hidden="false" customHeight="true" outlineLevel="0" collapsed="false">
      <c r="A8" s="44" t="s">
        <v>74</v>
      </c>
      <c r="B8" s="44" t="s">
        <v>75</v>
      </c>
      <c r="C8" s="45" t="n">
        <v>0</v>
      </c>
      <c r="D8" s="45" t="n">
        <v>0</v>
      </c>
      <c r="E8" s="45" t="n">
        <v>0</v>
      </c>
    </row>
    <row r="9" customFormat="false" ht="18" hidden="false" customHeight="true" outlineLevel="0" collapsed="false">
      <c r="A9" s="44" t="s">
        <v>76</v>
      </c>
      <c r="B9" s="44" t="s">
        <v>77</v>
      </c>
      <c r="C9" s="45" t="n">
        <v>0</v>
      </c>
      <c r="D9" s="45" t="n">
        <v>0</v>
      </c>
      <c r="E9" s="45" t="n">
        <v>0</v>
      </c>
    </row>
    <row r="10" customFormat="false" ht="21.75" hidden="false" customHeight="true" outlineLevel="0" collapsed="false">
      <c r="A10" s="46" t="s">
        <v>78</v>
      </c>
      <c r="B10" s="46"/>
      <c r="C10" s="47" t="n">
        <f aca="false">SUM(C5:C9)</f>
        <v>0</v>
      </c>
      <c r="D10" s="47" t="n">
        <f aca="false">SUM(D5:D9)</f>
        <v>0</v>
      </c>
      <c r="E10" s="47" t="n">
        <f aca="false">SUM(E5:E9)</f>
        <v>0</v>
      </c>
    </row>
    <row r="11" customFormat="false" ht="24" hidden="false" customHeight="true" outlineLevel="0" collapsed="false">
      <c r="A11" s="48" t="s">
        <v>79</v>
      </c>
      <c r="B11" s="48"/>
      <c r="C11" s="48"/>
      <c r="D11" s="48"/>
      <c r="E11" s="49" t="n">
        <f aca="false">SUM(C10:E10)</f>
        <v>0</v>
      </c>
    </row>
    <row r="13" customFormat="false" ht="21.75" hidden="false" customHeight="true" outlineLevel="0" collapsed="false">
      <c r="A13" s="50" t="s">
        <v>80</v>
      </c>
      <c r="B13" s="50"/>
      <c r="C13" s="50"/>
      <c r="D13" s="50"/>
      <c r="E13" s="50"/>
    </row>
    <row r="14" customFormat="false" ht="21.75" hidden="false" customHeight="true" outlineLevel="0" collapsed="false">
      <c r="A14" s="43" t="s">
        <v>67</v>
      </c>
      <c r="B14" s="43" t="s">
        <v>68</v>
      </c>
      <c r="C14" s="43" t="s">
        <v>39</v>
      </c>
      <c r="D14" s="43" t="s">
        <v>40</v>
      </c>
      <c r="E14" s="43" t="s">
        <v>41</v>
      </c>
    </row>
    <row r="15" customFormat="false" ht="18" hidden="false" customHeight="true" outlineLevel="0" collapsed="false">
      <c r="A15" s="44" t="s">
        <v>69</v>
      </c>
      <c r="B15" s="44" t="s">
        <v>81</v>
      </c>
      <c r="C15" s="45" t="n">
        <v>9180</v>
      </c>
      <c r="D15" s="45" t="n">
        <v>9180</v>
      </c>
      <c r="E15" s="45" t="n">
        <v>9180</v>
      </c>
    </row>
    <row r="16" customFormat="false" ht="18" hidden="false" customHeight="true" outlineLevel="0" collapsed="false">
      <c r="A16" s="44" t="s">
        <v>70</v>
      </c>
      <c r="B16" s="44" t="s">
        <v>82</v>
      </c>
      <c r="C16" s="45" t="n">
        <v>25500</v>
      </c>
      <c r="D16" s="45" t="n">
        <v>25500</v>
      </c>
      <c r="E16" s="45" t="n">
        <v>25500</v>
      </c>
    </row>
    <row r="17" customFormat="false" ht="18" hidden="false" customHeight="true" outlineLevel="0" collapsed="false">
      <c r="A17" s="44" t="s">
        <v>72</v>
      </c>
      <c r="B17" s="44" t="s">
        <v>83</v>
      </c>
      <c r="C17" s="45" t="n">
        <v>25500</v>
      </c>
      <c r="D17" s="45" t="n">
        <v>25500</v>
      </c>
      <c r="E17" s="45" t="n">
        <v>25500</v>
      </c>
    </row>
    <row r="18" customFormat="false" ht="18" hidden="false" customHeight="true" outlineLevel="0" collapsed="false">
      <c r="A18" s="44" t="s">
        <v>74</v>
      </c>
      <c r="B18" s="44" t="s">
        <v>84</v>
      </c>
      <c r="C18" s="45" t="n">
        <v>199</v>
      </c>
      <c r="D18" s="45" t="n">
        <v>1299</v>
      </c>
      <c r="E18" s="45" t="n">
        <v>1299</v>
      </c>
    </row>
    <row r="19" customFormat="false" ht="18" hidden="false" customHeight="true" outlineLevel="0" collapsed="false">
      <c r="A19" s="44" t="s">
        <v>76</v>
      </c>
      <c r="B19" s="44" t="s">
        <v>85</v>
      </c>
      <c r="C19" s="45" t="n">
        <v>612</v>
      </c>
      <c r="D19" s="45" t="n">
        <v>612</v>
      </c>
      <c r="E19" s="45" t="n">
        <v>612</v>
      </c>
    </row>
    <row r="20" customFormat="false" ht="18" hidden="false" customHeight="true" outlineLevel="0" collapsed="false">
      <c r="A20" s="44" t="s">
        <v>86</v>
      </c>
      <c r="B20" s="44" t="s">
        <v>87</v>
      </c>
      <c r="C20" s="45" t="n">
        <v>0</v>
      </c>
      <c r="D20" s="45" t="n">
        <v>0</v>
      </c>
      <c r="E20" s="45" t="n">
        <v>0</v>
      </c>
    </row>
    <row r="21" customFormat="false" ht="21.75" hidden="false" customHeight="true" outlineLevel="0" collapsed="false">
      <c r="A21" s="51" t="s">
        <v>78</v>
      </c>
      <c r="B21" s="51"/>
      <c r="C21" s="52" t="n">
        <f aca="false">SUM(C15:C20)</f>
        <v>60991</v>
      </c>
      <c r="D21" s="52" t="n">
        <f aca="false">SUM(D15:D20)</f>
        <v>62091</v>
      </c>
      <c r="E21" s="52" t="n">
        <f aca="false">SUM(E15:E20)</f>
        <v>62091</v>
      </c>
    </row>
    <row r="22" customFormat="false" ht="24" hidden="false" customHeight="true" outlineLevel="0" collapsed="false">
      <c r="A22" s="48" t="s">
        <v>79</v>
      </c>
      <c r="B22" s="48"/>
      <c r="C22" s="48"/>
      <c r="D22" s="48"/>
      <c r="E22" s="49" t="n">
        <f aca="false">SUM(C21:E21)</f>
        <v>185173</v>
      </c>
    </row>
    <row r="24" customFormat="false" ht="21.75" hidden="false" customHeight="true" outlineLevel="0" collapsed="false">
      <c r="A24" s="53" t="s">
        <v>88</v>
      </c>
      <c r="B24" s="53"/>
      <c r="C24" s="53"/>
      <c r="D24" s="53"/>
      <c r="E24" s="53"/>
    </row>
    <row r="25" customFormat="false" ht="21.75" hidden="false" customHeight="true" outlineLevel="0" collapsed="false">
      <c r="A25" s="43" t="s">
        <v>67</v>
      </c>
      <c r="B25" s="43" t="s">
        <v>68</v>
      </c>
      <c r="C25" s="43" t="s">
        <v>39</v>
      </c>
      <c r="D25" s="43" t="s">
        <v>40</v>
      </c>
      <c r="E25" s="43" t="s">
        <v>41</v>
      </c>
    </row>
    <row r="26" customFormat="false" ht="18" hidden="false" customHeight="true" outlineLevel="0" collapsed="false">
      <c r="A26" s="44" t="s">
        <v>69</v>
      </c>
      <c r="B26" s="44" t="s">
        <v>89</v>
      </c>
      <c r="C26" s="45" t="n">
        <v>0</v>
      </c>
      <c r="D26" s="45" t="n">
        <v>0</v>
      </c>
      <c r="E26" s="45" t="n">
        <v>0</v>
      </c>
    </row>
    <row r="27" customFormat="false" ht="18" hidden="false" customHeight="true" outlineLevel="0" collapsed="false">
      <c r="A27" s="44" t="s">
        <v>70</v>
      </c>
      <c r="B27" s="44" t="s">
        <v>82</v>
      </c>
      <c r="C27" s="45" t="n">
        <v>25500</v>
      </c>
      <c r="D27" s="45" t="n">
        <v>25500</v>
      </c>
      <c r="E27" s="45" t="n">
        <v>25500</v>
      </c>
    </row>
    <row r="28" customFormat="false" ht="18" hidden="false" customHeight="true" outlineLevel="0" collapsed="false">
      <c r="A28" s="44" t="s">
        <v>72</v>
      </c>
      <c r="B28" s="44" t="s">
        <v>83</v>
      </c>
      <c r="C28" s="45" t="n">
        <v>25500</v>
      </c>
      <c r="D28" s="45" t="n">
        <v>25500</v>
      </c>
      <c r="E28" s="45" t="n">
        <v>25500</v>
      </c>
    </row>
    <row r="29" customFormat="false" ht="18" hidden="false" customHeight="true" outlineLevel="0" collapsed="false">
      <c r="A29" s="44" t="s">
        <v>74</v>
      </c>
      <c r="B29" s="44" t="s">
        <v>84</v>
      </c>
      <c r="C29" s="45" t="n">
        <v>199</v>
      </c>
      <c r="D29" s="45" t="n">
        <v>1299</v>
      </c>
      <c r="E29" s="45" t="n">
        <v>1299</v>
      </c>
    </row>
    <row r="30" customFormat="false" ht="18" hidden="false" customHeight="true" outlineLevel="0" collapsed="false">
      <c r="A30" s="44" t="s">
        <v>76</v>
      </c>
      <c r="B30" s="44" t="s">
        <v>85</v>
      </c>
      <c r="C30" s="45" t="n">
        <v>612</v>
      </c>
      <c r="D30" s="45" t="n">
        <v>612</v>
      </c>
      <c r="E30" s="45" t="n">
        <v>612</v>
      </c>
    </row>
    <row r="31" customFormat="false" ht="18" hidden="false" customHeight="true" outlineLevel="0" collapsed="false">
      <c r="A31" s="44" t="s">
        <v>86</v>
      </c>
      <c r="B31" s="44" t="s">
        <v>90</v>
      </c>
      <c r="C31" s="45" t="n">
        <v>0</v>
      </c>
      <c r="D31" s="45" t="n">
        <v>0</v>
      </c>
      <c r="E31" s="45" t="n">
        <v>0</v>
      </c>
    </row>
    <row r="32" customFormat="false" ht="21.75" hidden="false" customHeight="true" outlineLevel="0" collapsed="false">
      <c r="A32" s="54" t="s">
        <v>78</v>
      </c>
      <c r="B32" s="54"/>
      <c r="C32" s="55" t="n">
        <f aca="false">SUM(C26:C31)</f>
        <v>51811</v>
      </c>
      <c r="D32" s="55" t="n">
        <f aca="false">SUM(D26:D31)</f>
        <v>52911</v>
      </c>
      <c r="E32" s="55" t="n">
        <f aca="false">SUM(E26:E31)</f>
        <v>52911</v>
      </c>
    </row>
    <row r="33" customFormat="false" ht="24" hidden="false" customHeight="true" outlineLevel="0" collapsed="false">
      <c r="A33" s="48" t="s">
        <v>79</v>
      </c>
      <c r="B33" s="48"/>
      <c r="C33" s="48"/>
      <c r="D33" s="48"/>
      <c r="E33" s="49" t="n">
        <f aca="false">SUM(C32:E32)</f>
        <v>157633</v>
      </c>
    </row>
    <row r="35" customFormat="false" ht="21.75" hidden="false" customHeight="true" outlineLevel="0" collapsed="false">
      <c r="A35" s="56" t="s">
        <v>91</v>
      </c>
      <c r="B35" s="56"/>
      <c r="C35" s="56"/>
      <c r="D35" s="56"/>
      <c r="E35" s="56"/>
    </row>
    <row r="36" customFormat="false" ht="21.75" hidden="false" customHeight="true" outlineLevel="0" collapsed="false">
      <c r="A36" s="43" t="s">
        <v>67</v>
      </c>
      <c r="B36" s="43" t="s">
        <v>68</v>
      </c>
      <c r="C36" s="43" t="s">
        <v>39</v>
      </c>
      <c r="D36" s="43" t="s">
        <v>40</v>
      </c>
      <c r="E36" s="43" t="s">
        <v>41</v>
      </c>
    </row>
    <row r="37" customFormat="false" ht="18" hidden="false" customHeight="true" outlineLevel="0" collapsed="false">
      <c r="A37" s="44" t="s">
        <v>69</v>
      </c>
      <c r="B37" s="44" t="s">
        <v>89</v>
      </c>
      <c r="C37" s="45" t="n">
        <v>0</v>
      </c>
      <c r="D37" s="45" t="n">
        <v>0</v>
      </c>
      <c r="E37" s="45" t="n">
        <v>0</v>
      </c>
    </row>
    <row r="38" customFormat="false" ht="18" hidden="false" customHeight="true" outlineLevel="0" collapsed="false">
      <c r="A38" s="44" t="s">
        <v>70</v>
      </c>
      <c r="B38" s="44" t="s">
        <v>92</v>
      </c>
      <c r="C38" s="45" t="n">
        <v>11314</v>
      </c>
      <c r="D38" s="45" t="n">
        <v>11314</v>
      </c>
      <c r="E38" s="45" t="n">
        <v>16978</v>
      </c>
    </row>
    <row r="39" customFormat="false" ht="18" hidden="false" customHeight="true" outlineLevel="0" collapsed="false">
      <c r="A39" s="44" t="s">
        <v>72</v>
      </c>
      <c r="B39" s="44" t="s">
        <v>83</v>
      </c>
      <c r="C39" s="45" t="n">
        <v>25500</v>
      </c>
      <c r="D39" s="45" t="n">
        <v>25500</v>
      </c>
      <c r="E39" s="45" t="n">
        <v>25500</v>
      </c>
    </row>
    <row r="40" customFormat="false" ht="18" hidden="false" customHeight="true" outlineLevel="0" collapsed="false">
      <c r="A40" s="44" t="s">
        <v>74</v>
      </c>
      <c r="B40" s="44" t="s">
        <v>93</v>
      </c>
      <c r="C40" s="45" t="n">
        <v>0</v>
      </c>
      <c r="D40" s="45" t="n">
        <v>1299</v>
      </c>
      <c r="E40" s="45" t="n">
        <v>1299</v>
      </c>
    </row>
    <row r="41" customFormat="false" ht="18" hidden="false" customHeight="true" outlineLevel="0" collapsed="false">
      <c r="A41" s="44" t="s">
        <v>94</v>
      </c>
      <c r="B41" s="44" t="s">
        <v>95</v>
      </c>
      <c r="C41" s="45" t="n">
        <v>0</v>
      </c>
      <c r="D41" s="45" t="n">
        <v>0</v>
      </c>
      <c r="E41" s="45" t="n">
        <v>0</v>
      </c>
    </row>
    <row r="42" customFormat="false" ht="18" hidden="false" customHeight="true" outlineLevel="0" collapsed="false">
      <c r="A42" s="44" t="s">
        <v>76</v>
      </c>
      <c r="B42" s="44" t="s">
        <v>85</v>
      </c>
      <c r="C42" s="45" t="n">
        <v>612</v>
      </c>
      <c r="D42" s="45" t="n">
        <v>612</v>
      </c>
      <c r="E42" s="45" t="n">
        <v>612</v>
      </c>
    </row>
    <row r="43" customFormat="false" ht="18" hidden="false" customHeight="true" outlineLevel="0" collapsed="false">
      <c r="A43" s="44" t="s">
        <v>86</v>
      </c>
      <c r="B43" s="44" t="s">
        <v>90</v>
      </c>
      <c r="C43" s="45" t="n">
        <v>0</v>
      </c>
      <c r="D43" s="45" t="n">
        <v>0</v>
      </c>
      <c r="E43" s="45" t="n">
        <v>0</v>
      </c>
    </row>
    <row r="44" customFormat="false" ht="21.75" hidden="false" customHeight="true" outlineLevel="0" collapsed="false">
      <c r="A44" s="57" t="s">
        <v>78</v>
      </c>
      <c r="B44" s="57"/>
      <c r="C44" s="58" t="n">
        <f aca="false">SUM(C37:C43)</f>
        <v>37426</v>
      </c>
      <c r="D44" s="58" t="n">
        <f aca="false">SUM(D37:D43)</f>
        <v>38725</v>
      </c>
      <c r="E44" s="58" t="n">
        <f aca="false">SUM(E37:E43)</f>
        <v>44389</v>
      </c>
    </row>
    <row r="45" customFormat="false" ht="24" hidden="false" customHeight="true" outlineLevel="0" collapsed="false">
      <c r="A45" s="48" t="s">
        <v>79</v>
      </c>
      <c r="B45" s="48"/>
      <c r="C45" s="48"/>
      <c r="D45" s="48"/>
      <c r="E45" s="49" t="n">
        <f aca="false">SUM(C44:E44)</f>
        <v>120540</v>
      </c>
    </row>
  </sheetData>
  <mergeCells count="13">
    <mergeCell ref="A1:E1"/>
    <mergeCell ref="A3:E3"/>
    <mergeCell ref="A10:B10"/>
    <mergeCell ref="A11:D11"/>
    <mergeCell ref="A13:E13"/>
    <mergeCell ref="A21:B21"/>
    <mergeCell ref="A22:D22"/>
    <mergeCell ref="A24:E24"/>
    <mergeCell ref="A32:B32"/>
    <mergeCell ref="A33:D33"/>
    <mergeCell ref="A35:E35"/>
    <mergeCell ref="A44:B4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2"/>
  </cols>
  <sheetData>
    <row r="1" customFormat="false" ht="25.5" hidden="false" customHeight="true" outlineLevel="0" collapsed="false">
      <c r="A1" s="41" t="s">
        <v>96</v>
      </c>
      <c r="B1" s="41"/>
      <c r="C1" s="41"/>
      <c r="D1" s="41"/>
      <c r="E1" s="41"/>
    </row>
    <row r="3" customFormat="false" ht="21.75" hidden="false" customHeight="true" outlineLevel="0" collapsed="false">
      <c r="A3" s="3" t="s">
        <v>97</v>
      </c>
      <c r="B3" s="3"/>
      <c r="C3" s="3"/>
      <c r="D3" s="3"/>
      <c r="E3" s="3"/>
    </row>
    <row r="4" customFormat="false" ht="27.75" hidden="false" customHeight="true" outlineLevel="0" collapsed="false">
      <c r="A4" s="59" t="s">
        <v>98</v>
      </c>
      <c r="B4" s="7" t="s">
        <v>99</v>
      </c>
      <c r="C4" s="8" t="s">
        <v>36</v>
      </c>
      <c r="D4" s="9" t="s">
        <v>37</v>
      </c>
      <c r="E4" s="10" t="s">
        <v>38</v>
      </c>
    </row>
    <row r="5" customFormat="false" ht="24" hidden="false" customHeight="true" outlineLevel="0" collapsed="false">
      <c r="A5" s="60" t="s">
        <v>100</v>
      </c>
      <c r="B5" s="36" t="s">
        <v>101</v>
      </c>
      <c r="C5" s="37" t="s">
        <v>102</v>
      </c>
      <c r="D5" s="38" t="s">
        <v>103</v>
      </c>
      <c r="E5" s="39" t="s">
        <v>104</v>
      </c>
    </row>
    <row r="6" customFormat="false" ht="24" hidden="false" customHeight="true" outlineLevel="0" collapsed="false">
      <c r="A6" s="60" t="s">
        <v>105</v>
      </c>
      <c r="B6" s="36" t="s">
        <v>106</v>
      </c>
      <c r="C6" s="37" t="s">
        <v>107</v>
      </c>
      <c r="D6" s="38" t="s">
        <v>107</v>
      </c>
      <c r="E6" s="39" t="s">
        <v>107</v>
      </c>
    </row>
    <row r="7" customFormat="false" ht="24" hidden="false" customHeight="true" outlineLevel="0" collapsed="false">
      <c r="A7" s="60" t="s">
        <v>108</v>
      </c>
      <c r="B7" s="36" t="s">
        <v>107</v>
      </c>
      <c r="C7" s="37" t="s">
        <v>107</v>
      </c>
      <c r="D7" s="38" t="s">
        <v>107</v>
      </c>
      <c r="E7" s="39" t="s">
        <v>107</v>
      </c>
    </row>
    <row r="8" customFormat="false" ht="24" hidden="false" customHeight="true" outlineLevel="0" collapsed="false">
      <c r="A8" s="60" t="s">
        <v>109</v>
      </c>
      <c r="B8" s="36" t="s">
        <v>110</v>
      </c>
      <c r="C8" s="37" t="s">
        <v>111</v>
      </c>
      <c r="D8" s="38" t="s">
        <v>111</v>
      </c>
      <c r="E8" s="39" t="s">
        <v>112</v>
      </c>
    </row>
    <row r="9" customFormat="false" ht="24" hidden="false" customHeight="true" outlineLevel="0" collapsed="false">
      <c r="A9" s="60" t="s">
        <v>113</v>
      </c>
      <c r="B9" s="36" t="s">
        <v>114</v>
      </c>
      <c r="C9" s="37" t="s">
        <v>107</v>
      </c>
      <c r="D9" s="38" t="s">
        <v>107</v>
      </c>
      <c r="E9" s="39" t="s">
        <v>107</v>
      </c>
    </row>
    <row r="10" customFormat="false" ht="24" hidden="false" customHeight="true" outlineLevel="0" collapsed="false">
      <c r="A10" s="60" t="s">
        <v>115</v>
      </c>
      <c r="B10" s="36" t="s">
        <v>114</v>
      </c>
      <c r="C10" s="37" t="s">
        <v>107</v>
      </c>
      <c r="D10" s="38" t="s">
        <v>107</v>
      </c>
      <c r="E10" s="39" t="s">
        <v>107</v>
      </c>
    </row>
    <row r="11" customFormat="false" ht="24" hidden="false" customHeight="true" outlineLevel="0" collapsed="false">
      <c r="A11" s="60" t="s">
        <v>116</v>
      </c>
      <c r="B11" s="36" t="s">
        <v>117</v>
      </c>
      <c r="C11" s="37" t="s">
        <v>118</v>
      </c>
      <c r="D11" s="38" t="s">
        <v>119</v>
      </c>
      <c r="E11" s="39" t="s">
        <v>119</v>
      </c>
    </row>
    <row r="12" customFormat="false" ht="24" hidden="false" customHeight="true" outlineLevel="0" collapsed="false">
      <c r="A12" s="60" t="s">
        <v>120</v>
      </c>
      <c r="B12" s="36" t="s">
        <v>56</v>
      </c>
      <c r="C12" s="37" t="s">
        <v>121</v>
      </c>
      <c r="D12" s="38" t="s">
        <v>122</v>
      </c>
      <c r="E12" s="39" t="s">
        <v>122</v>
      </c>
    </row>
    <row r="13" customFormat="false" ht="24" hidden="false" customHeight="true" outlineLevel="0" collapsed="false">
      <c r="A13" s="60" t="s">
        <v>123</v>
      </c>
      <c r="B13" s="36" t="s">
        <v>124</v>
      </c>
      <c r="C13" s="37" t="s">
        <v>107</v>
      </c>
      <c r="D13" s="38" t="s">
        <v>107</v>
      </c>
      <c r="E13" s="39" t="s">
        <v>107</v>
      </c>
    </row>
    <row r="14" customFormat="false" ht="24" hidden="false" customHeight="true" outlineLevel="0" collapsed="false">
      <c r="A14" s="60" t="s">
        <v>125</v>
      </c>
      <c r="B14" s="36" t="s">
        <v>126</v>
      </c>
      <c r="C14" s="37" t="s">
        <v>127</v>
      </c>
      <c r="D14" s="38" t="s">
        <v>127</v>
      </c>
      <c r="E14" s="39" t="s">
        <v>128</v>
      </c>
    </row>
    <row r="15" customFormat="false" ht="24" hidden="false" customHeight="true" outlineLevel="0" collapsed="false">
      <c r="A15" s="60" t="s">
        <v>129</v>
      </c>
      <c r="B15" s="36" t="s">
        <v>130</v>
      </c>
      <c r="C15" s="37" t="s">
        <v>107</v>
      </c>
      <c r="D15" s="38" t="s">
        <v>107</v>
      </c>
      <c r="E15" s="39" t="s">
        <v>107</v>
      </c>
    </row>
    <row r="16" customFormat="false" ht="24" hidden="false" customHeight="true" outlineLevel="0" collapsed="false">
      <c r="A16" s="60" t="s">
        <v>131</v>
      </c>
      <c r="B16" s="36" t="s">
        <v>132</v>
      </c>
      <c r="C16" s="37" t="s">
        <v>133</v>
      </c>
      <c r="D16" s="38" t="s">
        <v>133</v>
      </c>
      <c r="E16" s="39" t="s">
        <v>134</v>
      </c>
    </row>
    <row r="17" customFormat="false" ht="24" hidden="false" customHeight="true" outlineLevel="0" collapsed="false">
      <c r="A17" s="60" t="s">
        <v>135</v>
      </c>
      <c r="B17" s="32" t="s">
        <v>136</v>
      </c>
      <c r="C17" s="33" t="s">
        <v>137</v>
      </c>
      <c r="D17" s="34" t="s">
        <v>138</v>
      </c>
      <c r="E17" s="35" t="s">
        <v>139</v>
      </c>
    </row>
    <row r="20" customFormat="false" ht="21.75" hidden="false" customHeight="true" outlineLevel="0" collapsed="false">
      <c r="A20" s="61" t="s">
        <v>140</v>
      </c>
      <c r="B20" s="61"/>
      <c r="C20" s="61"/>
      <c r="D20" s="61"/>
      <c r="E20" s="61"/>
    </row>
    <row r="21" customFormat="false" ht="27.75" hidden="false" customHeight="true" outlineLevel="0" collapsed="false">
      <c r="A21" s="59" t="s">
        <v>98</v>
      </c>
      <c r="B21" s="7" t="s">
        <v>99</v>
      </c>
      <c r="C21" s="8" t="s">
        <v>36</v>
      </c>
      <c r="D21" s="9" t="s">
        <v>37</v>
      </c>
      <c r="E21" s="10" t="s">
        <v>38</v>
      </c>
    </row>
    <row r="22" customFormat="false" ht="30" hidden="false" customHeight="true" outlineLevel="0" collapsed="false">
      <c r="A22" s="4" t="s">
        <v>141</v>
      </c>
      <c r="B22" s="62" t="s">
        <v>142</v>
      </c>
      <c r="C22" s="63" t="s">
        <v>143</v>
      </c>
      <c r="D22" s="64" t="s">
        <v>144</v>
      </c>
      <c r="E22" s="65" t="s">
        <v>145</v>
      </c>
    </row>
    <row r="23" customFormat="false" ht="30" hidden="false" customHeight="true" outlineLevel="0" collapsed="false">
      <c r="A23" s="4" t="s">
        <v>146</v>
      </c>
      <c r="B23" s="62" t="s">
        <v>147</v>
      </c>
      <c r="C23" s="63" t="s">
        <v>148</v>
      </c>
      <c r="D23" s="64" t="s">
        <v>149</v>
      </c>
      <c r="E23" s="65" t="s">
        <v>150</v>
      </c>
    </row>
    <row r="24" customFormat="false" ht="30" hidden="false" customHeight="true" outlineLevel="0" collapsed="false">
      <c r="A24" s="4" t="s">
        <v>151</v>
      </c>
      <c r="B24" s="62" t="s">
        <v>152</v>
      </c>
      <c r="C24" s="63" t="s">
        <v>153</v>
      </c>
      <c r="D24" s="64" t="s">
        <v>154</v>
      </c>
      <c r="E24" s="65" t="s">
        <v>155</v>
      </c>
    </row>
    <row r="25" customFormat="false" ht="30" hidden="false" customHeight="true" outlineLevel="0" collapsed="false">
      <c r="A25" s="4" t="s">
        <v>156</v>
      </c>
      <c r="B25" s="62" t="s">
        <v>157</v>
      </c>
      <c r="C25" s="63" t="s">
        <v>158</v>
      </c>
      <c r="D25" s="64" t="s">
        <v>159</v>
      </c>
      <c r="E25" s="65" t="s">
        <v>160</v>
      </c>
    </row>
    <row r="27" customFormat="false" ht="21.75" hidden="false" customHeight="true" outlineLevel="0" collapsed="false">
      <c r="A27" s="66" t="s">
        <v>161</v>
      </c>
      <c r="B27" s="66"/>
      <c r="C27" s="66"/>
      <c r="D27" s="66"/>
      <c r="E27" s="66"/>
    </row>
    <row r="28" customFormat="false" ht="27.75" hidden="false" customHeight="true" outlineLevel="0" collapsed="false">
      <c r="A28" s="59" t="s">
        <v>98</v>
      </c>
      <c r="B28" s="7" t="s">
        <v>99</v>
      </c>
      <c r="C28" s="8" t="s">
        <v>36</v>
      </c>
      <c r="D28" s="9" t="s">
        <v>37</v>
      </c>
      <c r="E28" s="10" t="s">
        <v>38</v>
      </c>
    </row>
    <row r="29" customFormat="false" ht="30" hidden="false" customHeight="true" outlineLevel="0" collapsed="false">
      <c r="A29" s="4" t="s">
        <v>162</v>
      </c>
      <c r="B29" s="62" t="s">
        <v>163</v>
      </c>
      <c r="C29" s="63" t="s">
        <v>164</v>
      </c>
      <c r="D29" s="64" t="s">
        <v>165</v>
      </c>
      <c r="E29" s="65" t="s">
        <v>166</v>
      </c>
    </row>
    <row r="30" customFormat="false" ht="30" hidden="false" customHeight="true" outlineLevel="0" collapsed="false">
      <c r="A30" s="4" t="s">
        <v>167</v>
      </c>
      <c r="B30" s="62" t="s">
        <v>168</v>
      </c>
      <c r="C30" s="63" t="s">
        <v>169</v>
      </c>
      <c r="D30" s="64" t="s">
        <v>170</v>
      </c>
      <c r="E30" s="65" t="s">
        <v>171</v>
      </c>
    </row>
    <row r="31" customFormat="false" ht="30" hidden="false" customHeight="true" outlineLevel="0" collapsed="false">
      <c r="A31" s="4" t="s">
        <v>172</v>
      </c>
      <c r="B31" s="62" t="s">
        <v>173</v>
      </c>
      <c r="C31" s="63" t="s">
        <v>174</v>
      </c>
      <c r="D31" s="64" t="s">
        <v>175</v>
      </c>
      <c r="E31" s="65" t="s">
        <v>176</v>
      </c>
    </row>
    <row r="32" customFormat="false" ht="30" hidden="false" customHeight="true" outlineLevel="0" collapsed="false">
      <c r="A32" s="4" t="s">
        <v>177</v>
      </c>
      <c r="B32" s="62" t="s">
        <v>178</v>
      </c>
      <c r="C32" s="63" t="s">
        <v>179</v>
      </c>
      <c r="D32" s="64" t="s">
        <v>174</v>
      </c>
      <c r="E32" s="65" t="s">
        <v>180</v>
      </c>
    </row>
  </sheetData>
  <mergeCells count="4">
    <mergeCell ref="A1:E1"/>
    <mergeCell ref="A3:E3"/>
    <mergeCell ref="A20:E20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2026-05-15T15:55:53Z</dcterms:created>
  <dc:creator>openpyxl</dc:creator>
  <dc:description/>
  <dc:language>en-US</dc:language>
  <cp:lastModifiedBy/>
  <dcterms:modified xsi:type="dcterms:W3CDTF">2026-05-15T15:55:53Z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